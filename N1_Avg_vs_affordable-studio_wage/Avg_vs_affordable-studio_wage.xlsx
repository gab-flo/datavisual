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<sst xmlns="http://schemas.openxmlformats.org/spreadsheetml/2006/main" count="26" uniqueCount="26">
  <si>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City</t>
  </si>
  <si>
    <t>Avg_Wage</t>
  </si>
  <si>
    <t>€/Mq/Month</t>
  </si>
  <si>
    <t>60Mq</t>
  </si>
  <si>
    <t>Min_Affordable_wage_60Mq</t>
  </si>
  <si>
    <t>Difference</t>
  </si>
  <si>
    <t>Milan</t>
  </si>
  <si>
    <t>Bologna</t>
  </si>
  <si>
    <t>Rome</t>
  </si>
  <si>
    <t>Florence</t>
  </si>
  <si>
    <t>Trento</t>
  </si>
  <si>
    <t>Cagliari</t>
  </si>
  <si>
    <t>Turin</t>
  </si>
  <si>
    <t>Aosta</t>
  </si>
  <si>
    <t>Trieste</t>
  </si>
  <si>
    <t>Venice</t>
  </si>
  <si>
    <t>Ancona</t>
  </si>
  <si>
    <t>Genoa</t>
  </si>
  <si>
    <t>L'Aquila</t>
  </si>
  <si>
    <t>Bari</t>
  </si>
  <si>
    <t>Perugia</t>
  </si>
  <si>
    <t>Potenza</t>
  </si>
  <si>
    <t>Naples</t>
  </si>
  <si>
    <t>Campobasso</t>
  </si>
  <si>
    <t>Palermo</t>
  </si>
  <si>
    <t>Catanzaro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</si>
</sst>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€&quot;* #,##0.00_-;\-&quot;€&quot;* #,##0.00_-;_-&quot;€&quot;* \-??_-;_-@_-"/>
    <numFmt numFmtId="178" formatCode="_-* #,##0_-;\-* #,##0_-;_-* &quot;-&quot;_-;_-@_-"/>
    <numFmt numFmtId="179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/>
    </xf>
    <xf numFmtId="3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3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zoomScale="120" zoomScaleNormal="120" workbookViewId="0">
      <selection activeCell="G2" sqref="G2"/>
    </sheetView>
  </sheetViews>
  <sheetFormatPr defaultColWidth="9" defaultRowHeight="16.8" outlineLevelCol="5"/>
  <cols>
    <col min="1" max="1" width="11.2578125" style="1" customWidth="1"/>
    <col min="2" max="2" width="12.828125" customWidth="1"/>
    <col min="3" max="3" width="11.921875" customWidth="1"/>
    <col min="4" max="4" width="10.828125" customWidth="1"/>
    <col min="5" max="5" width="23.8515625" customWidth="1"/>
    <col min="6" max="7" width="12.6875"/>
  </cols>
  <sheetData>
    <row r="1" s="1" customFormat="1" spans="1: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>
      <c r="A2" s="1" t="s">
        <v>6</v>
      </c>
      <c r="B2" s="3">
        <v>40521</v>
      </c>
      <c r="C2" s="4">
        <v>22.21</v>
      </c>
      <c r="D2" s="4">
        <f>C2*60</f>
        <v>1332.6</v>
      </c>
      <c r="E2">
        <f>D2*12/0.3</f>
        <v>53304</v>
      </c>
      <c r="F2">
        <f>E2-B2</f>
        <v>12783</v>
      </c>
    </row>
    <row r="3" spans="1:6">
      <c r="A3" s="1" t="s">
        <v>7</v>
      </c>
      <c r="B3" s="3">
        <v>31956</v>
      </c>
      <c r="C3" s="4">
        <v>16.44</v>
      </c>
      <c r="D3" s="4">
        <f>C3*60</f>
        <v>986.4</v>
      </c>
      <c r="E3">
        <f>D3*12/0.3</f>
        <v>39456</v>
      </c>
      <c r="F3">
        <f>E3-B3</f>
        <v>7500.00000000001</v>
      </c>
    </row>
    <row r="4" spans="1:6">
      <c r="A4" s="1" t="s">
        <v>8</v>
      </c>
      <c r="B4" s="3">
        <v>31360</v>
      </c>
      <c r="C4" s="4">
        <v>18.68</v>
      </c>
      <c r="D4" s="4">
        <f>C4*60</f>
        <v>1120.8</v>
      </c>
      <c r="E4">
        <f>D4*12/0.3</f>
        <v>44832</v>
      </c>
      <c r="F4">
        <f>E4-B4</f>
        <v>13472</v>
      </c>
    </row>
    <row r="5" spans="1:6">
      <c r="A5" s="1" t="s">
        <v>9</v>
      </c>
      <c r="B5" s="3">
        <v>30773</v>
      </c>
      <c r="C5" s="4">
        <v>21.37</v>
      </c>
      <c r="D5" s="4">
        <f>C5*60</f>
        <v>1282.2</v>
      </c>
      <c r="E5">
        <f>D5*12/0.3</f>
        <v>51288</v>
      </c>
      <c r="F5">
        <f>E5-B5</f>
        <v>20515</v>
      </c>
    </row>
    <row r="6" spans="1:6">
      <c r="A6" s="1" t="s">
        <v>10</v>
      </c>
      <c r="B6" s="3">
        <v>29418</v>
      </c>
      <c r="C6" s="4">
        <v>12.97</v>
      </c>
      <c r="D6" s="4">
        <f>C6*60</f>
        <v>778.2</v>
      </c>
      <c r="E6">
        <f>D6*12/0.3</f>
        <v>31128</v>
      </c>
      <c r="F6">
        <f>E6-B6</f>
        <v>1710.00000000001</v>
      </c>
    </row>
    <row r="7" spans="1:6">
      <c r="A7" s="1" t="s">
        <v>11</v>
      </c>
      <c r="B7" s="3">
        <v>29277</v>
      </c>
      <c r="C7" s="4">
        <v>14.16</v>
      </c>
      <c r="D7" s="4">
        <f>C7*60</f>
        <v>849.6</v>
      </c>
      <c r="E7">
        <f>D7*12/0.3</f>
        <v>33984</v>
      </c>
      <c r="F7">
        <f>E7-B7</f>
        <v>4707.00000000001</v>
      </c>
    </row>
    <row r="8" spans="1:6">
      <c r="A8" s="1" t="s">
        <v>12</v>
      </c>
      <c r="B8" s="3">
        <v>28889</v>
      </c>
      <c r="C8" s="4">
        <v>12.82</v>
      </c>
      <c r="D8" s="4">
        <f>C8*60</f>
        <v>769.2</v>
      </c>
      <c r="E8">
        <f>D8*12/0.3</f>
        <v>30768</v>
      </c>
      <c r="F8">
        <f>E8-B8</f>
        <v>1879.00000000001</v>
      </c>
    </row>
    <row r="9" spans="1:6">
      <c r="A9" s="1" t="s">
        <v>13</v>
      </c>
      <c r="B9" s="3">
        <v>27734</v>
      </c>
      <c r="C9" s="4">
        <v>11.83</v>
      </c>
      <c r="D9" s="4">
        <f>C9*60</f>
        <v>709.8</v>
      </c>
      <c r="E9">
        <f>D9*12/0.3</f>
        <v>28392</v>
      </c>
      <c r="F9">
        <f>E9-B9</f>
        <v>657.999999999996</v>
      </c>
    </row>
    <row r="10" spans="1:6">
      <c r="A10" s="1" t="s">
        <v>14</v>
      </c>
      <c r="B10" s="3">
        <v>27353</v>
      </c>
      <c r="C10" s="4">
        <v>12.23</v>
      </c>
      <c r="D10" s="4">
        <f>C10*60</f>
        <v>733.8</v>
      </c>
      <c r="E10">
        <f>D10*12/0.3</f>
        <v>29352</v>
      </c>
      <c r="F10">
        <f>E10-B10</f>
        <v>1999</v>
      </c>
    </row>
    <row r="11" spans="1:6">
      <c r="A11" s="1" t="s">
        <v>15</v>
      </c>
      <c r="B11" s="3">
        <v>27290</v>
      </c>
      <c r="C11" s="4">
        <v>15.97</v>
      </c>
      <c r="D11" s="4">
        <f>C11*60</f>
        <v>958.2</v>
      </c>
      <c r="E11">
        <f>D11*12/0.3</f>
        <v>38328</v>
      </c>
      <c r="F11">
        <f>E11-B11</f>
        <v>11038</v>
      </c>
    </row>
    <row r="12" spans="1:6">
      <c r="A12" s="1" t="s">
        <v>16</v>
      </c>
      <c r="B12" s="3">
        <v>26888</v>
      </c>
      <c r="C12" s="4">
        <v>10.06</v>
      </c>
      <c r="D12" s="4">
        <f>C12*60</f>
        <v>603.6</v>
      </c>
      <c r="E12">
        <f>D12*12/0.3</f>
        <v>24144</v>
      </c>
      <c r="F12">
        <f>E12-B12</f>
        <v>-2744</v>
      </c>
    </row>
    <row r="13" spans="1:6">
      <c r="A13" s="1" t="s">
        <v>17</v>
      </c>
      <c r="B13" s="3">
        <v>26847</v>
      </c>
      <c r="C13" s="4">
        <v>10.81</v>
      </c>
      <c r="D13" s="4">
        <f>C13*60</f>
        <v>648.6</v>
      </c>
      <c r="E13">
        <f>D13*12/0.3</f>
        <v>25944</v>
      </c>
      <c r="F13">
        <f>E13-B13</f>
        <v>-902.999999999996</v>
      </c>
    </row>
    <row r="14" spans="1:6">
      <c r="A14" s="1" t="s">
        <v>18</v>
      </c>
      <c r="B14" s="3">
        <v>26407</v>
      </c>
      <c r="C14" s="4">
        <v>8.05</v>
      </c>
      <c r="D14" s="4">
        <f>C14*60</f>
        <v>483</v>
      </c>
      <c r="E14">
        <f>D14*12/0.3</f>
        <v>19320</v>
      </c>
      <c r="F14">
        <f>E14-B14</f>
        <v>-7087</v>
      </c>
    </row>
    <row r="15" spans="1:6">
      <c r="A15" s="1" t="s">
        <v>19</v>
      </c>
      <c r="B15" s="3">
        <v>25659</v>
      </c>
      <c r="C15" s="4">
        <v>12.78</v>
      </c>
      <c r="D15" s="4">
        <f>C15*60</f>
        <v>766.8</v>
      </c>
      <c r="E15">
        <f>D15*12/0.3</f>
        <v>30672</v>
      </c>
      <c r="F15">
        <f>E15-B15</f>
        <v>5013</v>
      </c>
    </row>
    <row r="16" spans="1:6">
      <c r="A16" s="1" t="s">
        <v>20</v>
      </c>
      <c r="B16" s="3">
        <v>25429</v>
      </c>
      <c r="C16" s="4">
        <v>9.91</v>
      </c>
      <c r="D16" s="4">
        <f>C16*60</f>
        <v>594.6</v>
      </c>
      <c r="E16">
        <f>D16*12/0.3</f>
        <v>23784</v>
      </c>
      <c r="F16">
        <f>E16-B16</f>
        <v>-1645</v>
      </c>
    </row>
    <row r="17" spans="1:6">
      <c r="A17" s="1" t="s">
        <v>21</v>
      </c>
      <c r="B17" s="3">
        <v>25203</v>
      </c>
      <c r="C17" s="4">
        <v>6.45</v>
      </c>
      <c r="D17" s="4">
        <f>C17*60</f>
        <v>387</v>
      </c>
      <c r="E17">
        <f>D17*12/0.3</f>
        <v>15480</v>
      </c>
      <c r="F17">
        <f>E17-B17</f>
        <v>-9723</v>
      </c>
    </row>
    <row r="18" spans="1:6">
      <c r="A18" s="1" t="s">
        <v>22</v>
      </c>
      <c r="B18" s="3">
        <v>24556</v>
      </c>
      <c r="C18" s="4">
        <v>14.93</v>
      </c>
      <c r="D18" s="4">
        <f>C18*60</f>
        <v>895.8</v>
      </c>
      <c r="E18">
        <f>D18*12/0.3</f>
        <v>35832</v>
      </c>
      <c r="F18">
        <f>E18-B18</f>
        <v>11276</v>
      </c>
    </row>
    <row r="19" spans="1:6">
      <c r="A19" s="1" t="s">
        <v>23</v>
      </c>
      <c r="B19" s="3">
        <v>24170</v>
      </c>
      <c r="C19" s="4">
        <v>7.15</v>
      </c>
      <c r="D19" s="4">
        <f>C19*60</f>
        <v>429</v>
      </c>
      <c r="E19">
        <f>D19*12/0.3</f>
        <v>17160</v>
      </c>
      <c r="F19">
        <f>E19-B19</f>
        <v>-7010</v>
      </c>
    </row>
    <row r="20" spans="1:6">
      <c r="A20" s="1" t="s">
        <v>24</v>
      </c>
      <c r="B20" s="3">
        <v>23943</v>
      </c>
      <c r="C20" s="4">
        <v>9.74</v>
      </c>
      <c r="D20" s="4">
        <f>C20*60</f>
        <v>584.4</v>
      </c>
      <c r="E20">
        <f>D20*12/0.3</f>
        <v>23376</v>
      </c>
      <c r="F20">
        <f>E20-B20</f>
        <v>-567</v>
      </c>
    </row>
    <row r="21" spans="1:6">
      <c r="A21" s="1" t="s">
        <v>25</v>
      </c>
      <c r="B21" s="3">
        <v>23663</v>
      </c>
      <c r="C21" s="4">
        <v>10.42</v>
      </c>
      <c r="D21" s="4">
        <f>C21*60</f>
        <v>625.2</v>
      </c>
      <c r="E21">
        <f>D21*12/0.3</f>
        <v>25008</v>
      </c>
      <c r="F21">
        <f>E21-B21</f>
        <v>1345</v>
      </c>
    </row>
    <row r="22" spans="1:6">
      <c r="A22" s="5"/>
      <c r="B22" s="6"/>
      <c r="C22" s="7"/>
      <c r="D22" s="4"/>
    </row>
    <row r="23" spans="1:6">
      <c r="B23" s="3"/>
      <c r="D23" s="4"/>
    </row>
    <row r="24" spans="1:6">
      <c r="B24" s="3"/>
      <c r="D24" s="4"/>
    </row>
    <row r="25" spans="1:6">
      <c r="B25" s="3"/>
      <c r="D25" s="4"/>
    </row>
    <row r="26" spans="1:6">
      <c r="B26" s="3"/>
      <c r="D26" s="4"/>
    </row>
    <row r="27" spans="1:6">
      <c r="B27" s="3"/>
      <c r="D27" s="4"/>
    </row>
    <row r="28" spans="1:6">
      <c r="B28" s="3"/>
      <c r="D28" s="4"/>
    </row>
    <row r="29" spans="1:6">
      <c r="B29" s="3"/>
      <c r="D29" s="4"/>
    </row>
    <row r="30" spans="1:6">
      <c r="B30" s="3"/>
      <c r="D30" s="4"/>
    </row>
    <row r="31" spans="1:6">
      <c r="B31" s="3"/>
      <c r="D31" s="4"/>
    </row>
    <row r="32" spans="1:6">
      <c r="B32" s="3"/>
      <c r="D32" s="4"/>
    </row>
    <row r="33" spans="1:4">
      <c r="A33" s="8"/>
      <c r="B33" s="3"/>
      <c r="D33" s="4"/>
    </row>
    <row r="34" spans="1:4">
      <c r="B34" s="3"/>
      <c r="D34" s="4"/>
    </row>
    <row r="35" spans="1:4">
      <c r="B35" s="3"/>
      <c r="D35" s="4"/>
    </row>
    <row r="36" spans="1:4">
      <c r="B36" s="3"/>
      <c r="D36" s="4"/>
    </row>
    <row r="37" spans="1:4">
      <c r="B37" s="3"/>
      <c r="D37" s="4"/>
    </row>
    <row r="38" spans="1:4">
      <c r="B38" s="3"/>
      <c r="D38" s="4"/>
    </row>
    <row r="39" spans="1:4">
      <c r="B39" s="3"/>
      <c r="D39" s="4"/>
    </row>
    <row r="40" spans="1:4">
      <c r="B40" s="3"/>
      <c r="D40" s="4"/>
    </row>
    <row r="41" spans="1:4">
      <c r="B41" s="3"/>
      <c r="D41" s="4"/>
    </row>
    <row r="42" spans="1:4">
      <c r="B42" s="3"/>
      <c r="D42" s="4"/>
    </row>
    <row r="43" spans="1:4">
      <c r="B43" s="3"/>
    </row>
    <row r="44" spans="1:4">
      <c r="B44" s="3"/>
    </row>
  </sheetData>
  <sortState ref="A2:G21">
    <sortCondition ref="B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</dc:creator>
  <cp:lastModifiedBy>Gabriele Flore</cp:lastModifiedBy>
  <dcterms:created xsi:type="dcterms:W3CDTF">2026-08-28T17:44:00Z</dcterms:created>
  <dcterms:modified xsi:type="dcterms:W3CDTF">2026-10-20T01:01:30Z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ACA6BDB23AE30DF27B94956A6057E5CB_43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